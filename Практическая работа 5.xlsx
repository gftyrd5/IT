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Матема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1" l="1"/>
  <c r="I3" i="1"/>
  <c r="I4" i="1"/>
  <c r="I5" i="1"/>
  <c r="I6" i="1"/>
  <c r="I7" i="1"/>
  <c r="I8" i="1"/>
  <c r="I2" i="1"/>
  <c r="AA7" i="1"/>
  <c r="AA6" i="1"/>
  <c r="AA5" i="1"/>
  <c r="AA4" i="1"/>
  <c r="AA2" i="1"/>
  <c r="AA1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6" i="1"/>
  <c r="T4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2" i="1"/>
  <c r="F3" i="1"/>
  <c r="F4" i="1"/>
  <c r="F5" i="1"/>
  <c r="F6" i="1"/>
  <c r="F7" i="1"/>
  <c r="F8" i="1"/>
  <c r="T7" i="1"/>
  <c r="T5" i="1"/>
</calcChain>
</file>

<file path=xl/sharedStrings.xml><?xml version="1.0" encoding="utf-8"?>
<sst xmlns="http://schemas.openxmlformats.org/spreadsheetml/2006/main" count="14" uniqueCount="14">
  <si>
    <t>№ детали</t>
  </si>
  <si>
    <t>Радиус R</t>
  </si>
  <si>
    <t>Высота h</t>
  </si>
  <si>
    <t>Масса m</t>
  </si>
  <si>
    <t>Длина L</t>
  </si>
  <si>
    <t>Диаметр</t>
  </si>
  <si>
    <t>Объем</t>
  </si>
  <si>
    <t>Корень из объема</t>
  </si>
  <si>
    <t>3(норма массы, кг)</t>
  </si>
  <si>
    <t>m -3</t>
  </si>
  <si>
    <t xml:space="preserve"> </t>
  </si>
  <si>
    <t>Длина дуги</t>
  </si>
  <si>
    <t>Дуга через радианы</t>
  </si>
  <si>
    <t>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</si>
</sst>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165" fontId="0" fillId="0" borderId="2" xfId="0" applyNumberForma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Views>
    <sheetView tabSelected="1" topLeftCell="N1" workbookViewId="0">
      <selection activeCell="T17" sqref="T17"/>
    </sheetView>
  </sheetViews>
  <sheetFormatPr defaultRowHeight="14.4" x14ac:dyDescent="0.3"/>
  <cols>
    <col min="1" max="1" width="12" customWidth="1"/>
    <col min="2" max="2" width="9.44140625" customWidth="1"/>
    <col min="8" max="8" width="17" customWidth="1"/>
    <col min="9" max="9" width="15.33203125" customWidth="1"/>
    <col min="10" max="11" width="17.6640625" customWidth="1"/>
    <col min="20" max="20" width="16.109375" customWidth="1"/>
    <col min="24" max="24" width="11.5546875" customWidth="1"/>
    <col min="26" max="26" width="17.88671875" customWidth="1"/>
    <col min="27" max="27" width="12.6640625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  <c r="G1" s="7" t="s">
        <v>6</v>
      </c>
      <c r="H1" s="6" t="s">
        <v>7</v>
      </c>
      <c r="I1" s="6" t="s">
        <v>9</v>
      </c>
      <c r="J1" s="11"/>
      <c r="K1" s="10" t="s">
        <v>8</v>
      </c>
      <c r="T1">
        <v>100000</v>
      </c>
      <c r="X1" t="s">
        <v>11</v>
      </c>
      <c r="Y1">
        <v>60</v>
      </c>
      <c r="Z1" t="s">
        <v>12</v>
      </c>
      <c r="AA1" s="1">
        <f>SUM(D2:D8)</f>
        <v>21.799999999999997</v>
      </c>
    </row>
    <row r="2" spans="1:27" x14ac:dyDescent="0.3">
      <c r="A2" s="5">
        <v>1</v>
      </c>
      <c r="B2" s="4">
        <v>12.5</v>
      </c>
      <c r="C2" s="4">
        <v>30</v>
      </c>
      <c r="D2" s="4">
        <v>2.4</v>
      </c>
      <c r="E2" s="4">
        <v>145</v>
      </c>
      <c r="F2">
        <f>2*B2</f>
        <v>25</v>
      </c>
      <c r="G2" s="8">
        <f>PI()*B2^2*C2</f>
        <v>14726.215563702155</v>
      </c>
      <c r="H2">
        <f>SQRT(G2)</f>
        <v>121.3516195347312</v>
      </c>
      <c r="I2">
        <f>ABS(D2/$K$2)</f>
        <v>0.79999999999999993</v>
      </c>
      <c r="J2" s="2"/>
      <c r="K2">
        <v>3</v>
      </c>
      <c r="T2" s="12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3">
      <c r="A3" s="5">
        <v>2</v>
      </c>
      <c r="B3" s="4">
        <v>8.3000000000000007</v>
      </c>
      <c r="C3" s="4">
        <v>25</v>
      </c>
      <c r="D3" s="4">
        <v>1.1000000000000001</v>
      </c>
      <c r="E3" s="4">
        <v>98</v>
      </c>
      <c r="F3">
        <f t="shared" ref="F3:F8" si="0">2*B3</f>
        <v>16.600000000000001</v>
      </c>
      <c r="G3" s="8">
        <f t="shared" ref="G3:G8" si="1">PI()*B3^2*C3</f>
        <v>5410.6079476450223</v>
      </c>
      <c r="H3">
        <f t="shared" ref="H3:H8" si="2">SQRT(G3)</f>
        <v>73.556834812578927</v>
      </c>
      <c r="I3">
        <f t="shared" ref="I3:I8" si="3">ABS(D3/$K$2)</f>
        <v>0.3666666666666667</v>
      </c>
      <c r="P3" t="s">
        <v>10</v>
      </c>
      <c r="T3">
        <v>5</v>
      </c>
      <c r="X3">
        <f t="shared" ref="X3:X8" si="4">PI()*B3*$Y$1/180</f>
        <v>8.6917396749317621</v>
      </c>
      <c r="Z3">
        <f t="shared" ref="Z3:Z8" si="5">B3*RADIANS($Y$1)</f>
        <v>8.6917396749317604</v>
      </c>
      <c r="AA3">
        <f xml:space="preserve"> SUMPRODUCT(D2:D8,E2:E8)/SUM(E2:E8)</f>
        <v>4.0744612928970474</v>
      </c>
    </row>
    <row r="4" spans="1:27" x14ac:dyDescent="0.3">
      <c r="A4" s="5">
        <v>3</v>
      </c>
      <c r="B4" s="4">
        <v>15.7</v>
      </c>
      <c r="C4" s="4">
        <v>40</v>
      </c>
      <c r="D4" s="4">
        <v>4</v>
      </c>
      <c r="E4" s="4">
        <v>210</v>
      </c>
      <c r="F4">
        <f t="shared" si="0"/>
        <v>31.4</v>
      </c>
      <c r="G4" s="8">
        <f t="shared" si="1"/>
        <v>30974.846927333921</v>
      </c>
      <c r="H4">
        <f t="shared" si="2"/>
        <v>175.99672419489494</v>
      </c>
      <c r="I4">
        <f t="shared" si="3"/>
        <v>1.3333333333333333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3">
      <c r="A5" s="5">
        <v>4</v>
      </c>
      <c r="B5" s="4">
        <v>6.2</v>
      </c>
      <c r="C5" s="4">
        <v>18</v>
      </c>
      <c r="D5" s="4">
        <v>0.7</v>
      </c>
      <c r="E5" s="4">
        <v>75</v>
      </c>
      <c r="F5">
        <f t="shared" si="0"/>
        <v>12.4</v>
      </c>
      <c r="G5" s="8">
        <f t="shared" si="1"/>
        <v>2173.7307888718501</v>
      </c>
      <c r="H5">
        <f t="shared" si="2"/>
        <v>46.623285908136616</v>
      </c>
      <c r="I5">
        <f t="shared" si="3"/>
        <v>0.23333333333333331</v>
      </c>
      <c r="T5" t="e">
        <f ca="1">T1*ЭКСП(T2*T3)</f>
        <v>#NAME?</v>
      </c>
      <c r="X5">
        <f t="shared" si="4"/>
        <v>6.4926248174189052</v>
      </c>
      <c r="Z5">
        <f t="shared" si="5"/>
        <v>6.4926248174189052</v>
      </c>
      <c r="AA5" s="1">
        <f>AVERAGE(D2:D8)</f>
        <v>3.1142857142857139</v>
      </c>
    </row>
    <row r="6" spans="1:27" x14ac:dyDescent="0.3">
      <c r="A6" s="5">
        <v>5</v>
      </c>
      <c r="B6" s="4">
        <v>20.100000000000001</v>
      </c>
      <c r="C6" s="4">
        <v>55</v>
      </c>
      <c r="D6" s="4">
        <v>6.5</v>
      </c>
      <c r="E6" s="4">
        <v>320</v>
      </c>
      <c r="F6">
        <f t="shared" si="0"/>
        <v>40.200000000000003</v>
      </c>
      <c r="G6" s="8">
        <f t="shared" si="1"/>
        <v>69807.916638724681</v>
      </c>
      <c r="H6">
        <f t="shared" si="2"/>
        <v>264.21187830740064</v>
      </c>
      <c r="I6">
        <f t="shared" si="3"/>
        <v>2.1666666666666665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1">
        <f>MAX(D2:D8)</f>
        <v>6.5</v>
      </c>
    </row>
    <row r="7" spans="1:27" x14ac:dyDescent="0.3">
      <c r="A7" s="5">
        <v>6</v>
      </c>
      <c r="B7" s="4">
        <v>10.4</v>
      </c>
      <c r="C7" s="4">
        <v>28</v>
      </c>
      <c r="D7" s="4">
        <v>1.9</v>
      </c>
      <c r="E7" s="4">
        <v>130</v>
      </c>
      <c r="F7">
        <f t="shared" si="0"/>
        <v>20.8</v>
      </c>
      <c r="G7" s="8">
        <f t="shared" si="1"/>
        <v>9514.250519543617</v>
      </c>
      <c r="H7">
        <f t="shared" si="2"/>
        <v>97.541019676562826</v>
      </c>
      <c r="I7">
        <f t="shared" si="3"/>
        <v>0.6333333333333333</v>
      </c>
      <c r="T7" t="e">
        <f ca="1">ЛН(2)/ЛН(1+T2)</f>
        <v>#NAME?</v>
      </c>
      <c r="X7">
        <f t="shared" si="4"/>
        <v>10.890854532444616</v>
      </c>
      <c r="Z7">
        <f t="shared" si="5"/>
        <v>10.890854532444616</v>
      </c>
      <c r="AA7" s="1">
        <f>MIN(D2:D8)</f>
        <v>0.7</v>
      </c>
    </row>
    <row r="8" spans="1:27" x14ac:dyDescent="0.3">
      <c r="A8" s="5">
        <v>7</v>
      </c>
      <c r="B8" s="4">
        <v>18.899999999999999</v>
      </c>
      <c r="C8" s="4">
        <v>48</v>
      </c>
      <c r="D8" s="4">
        <v>5.2</v>
      </c>
      <c r="E8" s="4">
        <v>275</v>
      </c>
      <c r="F8">
        <f t="shared" si="0"/>
        <v>37.799999999999997</v>
      </c>
      <c r="G8" s="8">
        <f t="shared" si="1"/>
        <v>53865.998965862877</v>
      </c>
      <c r="H8">
        <f t="shared" si="2"/>
        <v>232.09049736226359</v>
      </c>
      <c r="I8">
        <f t="shared" si="3"/>
        <v>1.7333333333333334</v>
      </c>
      <c r="X8">
        <f t="shared" si="4"/>
        <v>19.792033717615695</v>
      </c>
      <c r="Z8">
        <f t="shared" si="5"/>
        <v>19.792033717615695</v>
      </c>
    </row>
    <row r="9" spans="1:27" x14ac:dyDescent="0.3">
      <c r="A9" s="1"/>
      <c r="B9" s="1"/>
      <c r="C9" s="1"/>
      <c r="D9" s="1"/>
      <c r="E9" s="1"/>
    </row>
    <row r="10" spans="1:27" x14ac:dyDescent="0.3">
      <c r="Z10" t="s">
        <v>13</v>
      </c>
    </row>
    <row r="14" spans="1:27" x14ac:dyDescent="0.3">
      <c r="E1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2026-09-29T11:56:45Z</dcterms:modified>
</cp:coreProperties>
</file>