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Шилко\"/>
    </mc:Choice>
  </mc:AlternateContent>
  <bookViews>
    <workbookView xWindow="0" yWindow="0" windowWidth="17352" windowHeight="8868" activeTab="1"/>
  </bookViews>
  <sheets>
    <sheet name="Статистика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3" i="2"/>
  <c r="G2" i="2"/>
  <c r="O2" i="2"/>
  <c r="N2" i="2"/>
  <c r="M2" i="2"/>
  <c r="L2" i="2"/>
  <c r="K2" i="2"/>
  <c r="J2" i="2"/>
  <c r="I2" i="2"/>
  <c r="H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3" i="2"/>
  <c r="F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3" i="2"/>
  <c r="E2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3" i="1"/>
  <c r="M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3" i="1"/>
  <c r="J2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<sst xmlns="http://schemas.openxmlformats.org/spreadsheetml/2006/main" count="60" uniqueCount="55">
  <si>
    <t>№</t>
  </si>
  <si>
    <t>ФИО студента</t>
  </si>
  <si>
    <t>Балл 1</t>
  </si>
  <si>
    <t>Балл 2</t>
  </si>
  <si>
    <t>Балл 3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</si>
  <si>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</si>
  <si>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</si>
  <si>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</si>
  <si>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</si>
  <si>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</si>
  <si>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</si>
  <si>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Кузнецова К.К.</t>
  </si>
  <si>
    <t>Волков В.В.</t>
  </si>
  <si>
    <t>Новиков Н.Н.</t>
  </si>
  <si>
    <t>Федорова Ф.Ф.</t>
  </si>
  <si>
    <t>Егоров Е.Е.</t>
  </si>
  <si>
    <t>Павлова П.П.</t>
  </si>
  <si>
    <t>Лебедева Л.Л.</t>
  </si>
  <si>
    <t>Морозова М.М.</t>
  </si>
  <si>
    <t>Сидорова С.С.</t>
  </si>
  <si>
    <t>Смирнова С.С.</t>
  </si>
  <si>
    <t>Козлов К.К.</t>
  </si>
  <si>
    <t>Степанов С.С.</t>
  </si>
  <si>
    <t>Соколов С.С.</t>
  </si>
  <si>
    <t>Медиана</t>
  </si>
  <si>
    <t>Мода</t>
  </si>
  <si>
    <t>Минимум</t>
  </si>
  <si>
    <t>Максимум</t>
  </si>
  <si>
    <t>Товар</t>
  </si>
  <si>
    <t>Цена(руб.)</t>
  </si>
  <si>
    <t>Продано(шт.)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</si>
  <si>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</si>
  <si>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</si>
  <si>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</si>
  <si>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</si>
  <si>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</si>
  <si>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</si>
  <si>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</si>
  <si>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</si>
  <si>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</si>
  <si>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</si>
  <si>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</si>
  <si>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</si>
  <si>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</si>
  <si>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</si>
  <si>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</si>
  <si>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</si>
  <si>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</si>
  <si>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Сумма</t>
  </si>
  <si>
    <t>Ср значение</t>
  </si>
  <si>
    <t>Количество Топ</t>
  </si>
  <si>
    <t>Сумма по кат Топ</t>
  </si>
  <si>
    <t>Ср выручка по кат Средний</t>
  </si>
  <si>
    <t>Доля</t>
  </si>
  <si>
    <t>Коррел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</si>
</sst>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1" fontId="0" fillId="0" borderId="1" xfId="1" applyNumberFormat="1" applyFont="1" applyBorder="1"/>
    <xf numFmtId="0" fontId="0" fillId="0" borderId="1" xfId="0" applyBorder="1" applyAlignment="1">
      <alignment horizontal="left"/>
    </xf>
    <xf numFmtId="1" fontId="0" fillId="0" borderId="0" xfId="0" applyNumberFormat="1"/>
    <xf numFmtId="10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N12" sqref="N12"/>
    </sheetView>
  </sheetViews>
  <sheetFormatPr defaultRowHeight="14.4" x14ac:dyDescent="0.3"/>
  <cols>
    <col min="2" max="2" width="14" customWidth="1"/>
    <col min="6" max="6" width="13.33203125" customWidth="1"/>
    <col min="7" max="7" width="13" customWidth="1"/>
    <col min="12" max="12" width="9.6640625" customWidth="1"/>
    <col min="13" max="13" width="11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x14ac:dyDescent="0.3">
      <c r="A2" s="2">
        <v>1</v>
      </c>
      <c r="B2" s="4" t="s">
        <v>9</v>
      </c>
      <c r="C2" s="3">
        <v>85</v>
      </c>
      <c r="D2" s="3">
        <v>78</v>
      </c>
      <c r="E2" s="3">
        <v>92</v>
      </c>
      <c r="F2" s="5">
        <f>SUM(C2:E2)</f>
        <v>255</v>
      </c>
      <c r="G2" s="5">
        <f>AVERAGE(C2:E2)</f>
        <v>85</v>
      </c>
      <c r="J2" s="5">
        <f>MEDIAN(C2:E2)</f>
        <v>85</v>
      </c>
      <c r="L2" s="5">
        <f>MIN(C2:E2)</f>
        <v>78</v>
      </c>
      <c r="M2" s="5">
        <f>MAX(C2:E2)</f>
        <v>92</v>
      </c>
    </row>
    <row r="3" spans="1:13" x14ac:dyDescent="0.3">
      <c r="A3" s="2">
        <v>2</v>
      </c>
      <c r="B3" s="4" t="s">
        <v>10</v>
      </c>
      <c r="C3" s="3">
        <v>72</v>
      </c>
      <c r="D3" s="3">
        <v>65</v>
      </c>
      <c r="E3" s="3">
        <v>80</v>
      </c>
      <c r="F3" s="5">
        <f>SUM(C3:E3)</f>
        <v>217</v>
      </c>
      <c r="G3" s="5">
        <f>AVERAGE(C3:E3)</f>
        <v>72.333333333333329</v>
      </c>
      <c r="J3" s="5">
        <f>MEDIAN(C3:E3)</f>
        <v>72</v>
      </c>
      <c r="L3" s="5">
        <f>MIN(C3:E3)</f>
        <v>65</v>
      </c>
      <c r="M3" s="5">
        <f>MAX(C3:E3)</f>
        <v>80</v>
      </c>
    </row>
    <row r="4" spans="1:13" x14ac:dyDescent="0.3">
      <c r="A4" s="2">
        <v>3</v>
      </c>
      <c r="B4" s="4" t="s">
        <v>19</v>
      </c>
      <c r="C4" s="3">
        <v>95</v>
      </c>
      <c r="D4" s="3">
        <v>88</v>
      </c>
      <c r="E4" s="3">
        <v>98</v>
      </c>
      <c r="F4" s="5">
        <f>SUM(C4:E4)</f>
        <v>281</v>
      </c>
      <c r="G4" s="5">
        <f>AVERAGE(C4:E4)</f>
        <v>93.666666666666671</v>
      </c>
      <c r="J4" s="5">
        <f t="shared" ref="J4:J16" si="0">MEDIAN(C4:E4)</f>
        <v>95</v>
      </c>
      <c r="L4" s="5">
        <f t="shared" ref="L4:L16" si="1">MIN(C4:E4)</f>
        <v>88</v>
      </c>
      <c r="M4" s="5">
        <f t="shared" ref="M4:M16" si="2">MAX(C4:E4)</f>
        <v>98</v>
      </c>
    </row>
    <row r="5" spans="1:13" x14ac:dyDescent="0.3">
      <c r="A5" s="2">
        <v>4</v>
      </c>
      <c r="B5" s="4" t="s">
        <v>11</v>
      </c>
      <c r="C5" s="3">
        <v>65</v>
      </c>
      <c r="D5" s="3">
        <v>55</v>
      </c>
      <c r="E5" s="3">
        <v>70</v>
      </c>
      <c r="F5" s="5">
        <f>SUM(C5:E5)</f>
        <v>190</v>
      </c>
      <c r="G5" s="5">
        <f>AVERAGE(C5:E5)</f>
        <v>63.333333333333336</v>
      </c>
      <c r="J5" s="5">
        <f t="shared" si="0"/>
        <v>65</v>
      </c>
      <c r="L5" s="5">
        <f t="shared" si="1"/>
        <v>55</v>
      </c>
      <c r="M5" s="5">
        <f t="shared" si="2"/>
        <v>70</v>
      </c>
    </row>
    <row r="6" spans="1:13" x14ac:dyDescent="0.3">
      <c r="A6" s="2">
        <v>5</v>
      </c>
      <c r="B6" s="4" t="s">
        <v>20</v>
      </c>
      <c r="C6" s="3">
        <v>78</v>
      </c>
      <c r="D6" s="3">
        <v>82</v>
      </c>
      <c r="E6" s="3">
        <v>85</v>
      </c>
      <c r="F6" s="5">
        <f>SUM(C6:E6)</f>
        <v>245</v>
      </c>
      <c r="G6" s="5">
        <f>AVERAGE(C6:E6)</f>
        <v>81.666666666666671</v>
      </c>
      <c r="J6" s="5">
        <f t="shared" si="0"/>
        <v>82</v>
      </c>
      <c r="L6" s="5">
        <f t="shared" si="1"/>
        <v>78</v>
      </c>
      <c r="M6" s="5">
        <f t="shared" si="2"/>
        <v>85</v>
      </c>
    </row>
    <row r="7" spans="1:13" x14ac:dyDescent="0.3">
      <c r="A7" s="2">
        <v>6</v>
      </c>
      <c r="B7" s="4" t="s">
        <v>12</v>
      </c>
      <c r="C7" s="3">
        <v>88</v>
      </c>
      <c r="D7" s="3">
        <v>90</v>
      </c>
      <c r="E7" s="3">
        <v>95</v>
      </c>
      <c r="F7" s="5">
        <f>SUM(C7:E7)</f>
        <v>273</v>
      </c>
      <c r="G7" s="5">
        <f>AVERAGE(C7:E7)</f>
        <v>91</v>
      </c>
      <c r="J7" s="5">
        <f t="shared" si="0"/>
        <v>90</v>
      </c>
      <c r="L7" s="5">
        <f t="shared" si="1"/>
        <v>88</v>
      </c>
      <c r="M7" s="5">
        <f t="shared" si="2"/>
        <v>95</v>
      </c>
    </row>
    <row r="8" spans="1:13" x14ac:dyDescent="0.3">
      <c r="A8" s="2">
        <v>7</v>
      </c>
      <c r="B8" s="4" t="s">
        <v>18</v>
      </c>
      <c r="C8" s="3">
        <v>65</v>
      </c>
      <c r="D8" s="3">
        <v>70</v>
      </c>
      <c r="E8" s="3">
        <v>68</v>
      </c>
      <c r="F8" s="5">
        <f>SUM(C8:E8)</f>
        <v>203</v>
      </c>
      <c r="G8" s="5">
        <f>AVERAGE(C8:E8)</f>
        <v>67.666666666666671</v>
      </c>
      <c r="J8" s="5">
        <f t="shared" si="0"/>
        <v>68</v>
      </c>
      <c r="L8" s="5">
        <f t="shared" si="1"/>
        <v>65</v>
      </c>
      <c r="M8" s="5">
        <f t="shared" si="2"/>
        <v>70</v>
      </c>
    </row>
    <row r="9" spans="1:13" x14ac:dyDescent="0.3">
      <c r="A9" s="2">
        <v>8</v>
      </c>
      <c r="B9" s="4" t="s">
        <v>13</v>
      </c>
      <c r="C9" s="3">
        <v>92</v>
      </c>
      <c r="D9" s="3">
        <v>85</v>
      </c>
      <c r="E9" s="3">
        <v>88</v>
      </c>
      <c r="F9" s="5">
        <f>SUM(C9:E9)</f>
        <v>265</v>
      </c>
      <c r="G9" s="5">
        <f>AVERAGE(C9:E9)</f>
        <v>88.333333333333329</v>
      </c>
      <c r="J9" s="5">
        <f t="shared" si="0"/>
        <v>88</v>
      </c>
      <c r="L9" s="5">
        <f t="shared" si="1"/>
        <v>85</v>
      </c>
      <c r="M9" s="5">
        <f t="shared" si="2"/>
        <v>92</v>
      </c>
    </row>
    <row r="10" spans="1:13" x14ac:dyDescent="0.3">
      <c r="A10" s="2">
        <v>9</v>
      </c>
      <c r="B10" s="4" t="s">
        <v>14</v>
      </c>
      <c r="C10" s="3">
        <v>55</v>
      </c>
      <c r="D10" s="3">
        <v>60</v>
      </c>
      <c r="E10" s="3">
        <v>58</v>
      </c>
      <c r="F10" s="5">
        <f>SUM(C10:E10)</f>
        <v>173</v>
      </c>
      <c r="G10" s="5">
        <f>AVERAGE(C10:E10)</f>
        <v>57.666666666666664</v>
      </c>
      <c r="J10" s="5">
        <f t="shared" si="0"/>
        <v>58</v>
      </c>
      <c r="L10" s="5">
        <f t="shared" si="1"/>
        <v>55</v>
      </c>
      <c r="M10" s="5">
        <f t="shared" si="2"/>
        <v>60</v>
      </c>
    </row>
    <row r="11" spans="1:13" x14ac:dyDescent="0.3">
      <c r="A11" s="2">
        <v>10</v>
      </c>
      <c r="B11" s="4" t="s">
        <v>15</v>
      </c>
      <c r="C11" s="3">
        <v>80</v>
      </c>
      <c r="D11" s="3">
        <v>75</v>
      </c>
      <c r="E11" s="3">
        <v>82</v>
      </c>
      <c r="F11" s="5">
        <f>SUM(C11:E11)</f>
        <v>237</v>
      </c>
      <c r="G11" s="5">
        <f>AVERAGE(C11:E11)</f>
        <v>79</v>
      </c>
      <c r="J11" s="5">
        <f t="shared" si="0"/>
        <v>80</v>
      </c>
      <c r="L11" s="5">
        <f t="shared" si="1"/>
        <v>75</v>
      </c>
      <c r="M11" s="5">
        <f t="shared" si="2"/>
        <v>82</v>
      </c>
    </row>
    <row r="12" spans="1:13" x14ac:dyDescent="0.3">
      <c r="A12" s="2">
        <v>11</v>
      </c>
      <c r="B12" s="4" t="s">
        <v>16</v>
      </c>
      <c r="C12" s="3">
        <v>70</v>
      </c>
      <c r="D12" s="3">
        <v>68</v>
      </c>
      <c r="E12" s="3">
        <v>72</v>
      </c>
      <c r="F12" s="5">
        <f>SUM(C12:E12)</f>
        <v>210</v>
      </c>
      <c r="G12" s="5">
        <f>AVERAGE(C12:E12)</f>
        <v>70</v>
      </c>
      <c r="J12" s="5">
        <f t="shared" si="0"/>
        <v>70</v>
      </c>
      <c r="L12" s="5">
        <f t="shared" si="1"/>
        <v>68</v>
      </c>
      <c r="M12" s="5">
        <f t="shared" si="2"/>
        <v>72</v>
      </c>
    </row>
    <row r="13" spans="1:13" x14ac:dyDescent="0.3">
      <c r="A13" s="2">
        <v>12</v>
      </c>
      <c r="B13" s="4" t="s">
        <v>23</v>
      </c>
      <c r="C13" s="3">
        <v>90</v>
      </c>
      <c r="D13" s="3">
        <v>92</v>
      </c>
      <c r="E13" s="3">
        <v>94</v>
      </c>
      <c r="F13" s="5">
        <f>SUM(C13:E13)</f>
        <v>276</v>
      </c>
      <c r="G13" s="5">
        <f>AVERAGE(C13:E13)</f>
        <v>92</v>
      </c>
      <c r="J13" s="5">
        <f t="shared" si="0"/>
        <v>92</v>
      </c>
      <c r="L13" s="5">
        <f t="shared" si="1"/>
        <v>90</v>
      </c>
      <c r="M13" s="5">
        <f t="shared" si="2"/>
        <v>94</v>
      </c>
    </row>
    <row r="14" spans="1:13" x14ac:dyDescent="0.3">
      <c r="A14" s="2">
        <v>13</v>
      </c>
      <c r="B14" s="4" t="s">
        <v>17</v>
      </c>
      <c r="C14" s="3">
        <v>75</v>
      </c>
      <c r="D14" s="3">
        <v>78</v>
      </c>
      <c r="E14" s="3">
        <v>80</v>
      </c>
      <c r="F14" s="5">
        <f>SUM(C14:E14)</f>
        <v>233</v>
      </c>
      <c r="G14" s="5">
        <f>AVERAGE(C14:E14)</f>
        <v>77.666666666666671</v>
      </c>
      <c r="J14" s="5">
        <f t="shared" si="0"/>
        <v>78</v>
      </c>
      <c r="L14" s="5">
        <f t="shared" si="1"/>
        <v>75</v>
      </c>
      <c r="M14" s="5">
        <f t="shared" si="2"/>
        <v>80</v>
      </c>
    </row>
    <row r="15" spans="1:13" x14ac:dyDescent="0.3">
      <c r="A15" s="2">
        <v>14</v>
      </c>
      <c r="B15" s="4" t="s">
        <v>21</v>
      </c>
      <c r="C15" s="3">
        <v>62</v>
      </c>
      <c r="D15" s="3">
        <v>58</v>
      </c>
      <c r="E15" s="3">
        <v>65</v>
      </c>
      <c r="F15" s="5">
        <f>SUM(C15:E15)</f>
        <v>185</v>
      </c>
      <c r="G15" s="5">
        <f>AVERAGE(C15:E15)</f>
        <v>61.666666666666664</v>
      </c>
      <c r="J15" s="5">
        <f t="shared" si="0"/>
        <v>62</v>
      </c>
      <c r="L15" s="5">
        <f t="shared" si="1"/>
        <v>58</v>
      </c>
      <c r="M15" s="5">
        <f t="shared" si="2"/>
        <v>65</v>
      </c>
    </row>
    <row r="16" spans="1:13" x14ac:dyDescent="0.3">
      <c r="A16" s="2">
        <v>15</v>
      </c>
      <c r="B16" s="4" t="s">
        <v>22</v>
      </c>
      <c r="C16" s="3">
        <v>98</v>
      </c>
      <c r="D16" s="3">
        <v>95</v>
      </c>
      <c r="E16" s="3">
        <v>100</v>
      </c>
      <c r="F16" s="5">
        <f>SUM(C16:E16)</f>
        <v>293</v>
      </c>
      <c r="G16" s="5">
        <f>AVERAGE(C16:E16)</f>
        <v>97.666666666666671</v>
      </c>
      <c r="J16" s="5">
        <f t="shared" si="0"/>
        <v>98</v>
      </c>
      <c r="L16" s="5">
        <f t="shared" si="1"/>
        <v>95</v>
      </c>
      <c r="M16" s="5">
        <f t="shared" si="2"/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topLeftCell="C1" workbookViewId="0">
      <selection activeCell="M20" sqref="M20"/>
    </sheetView>
  </sheetViews>
  <sheetFormatPr defaultRowHeight="14.4" x14ac:dyDescent="0.3"/>
  <cols>
    <col min="2" max="2" width="16.21875" customWidth="1"/>
    <col min="3" max="3" width="10.21875" customWidth="1"/>
    <col min="4" max="4" width="12.44140625" customWidth="1"/>
    <col min="6" max="6" width="9.77734375" customWidth="1"/>
    <col min="9" max="9" width="11.44140625" customWidth="1"/>
    <col min="11" max="11" width="9.21875" customWidth="1"/>
    <col min="12" max="12" width="9.88671875" customWidth="1"/>
    <col min="13" max="13" width="14.44140625" customWidth="1"/>
    <col min="14" max="14" width="15.5546875" customWidth="1"/>
    <col min="15" max="15" width="23.77734375" customWidth="1"/>
  </cols>
  <sheetData>
    <row r="1" spans="1:17" x14ac:dyDescent="0.3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53</v>
      </c>
      <c r="H1" t="s">
        <v>48</v>
      </c>
      <c r="I1" t="s">
        <v>49</v>
      </c>
      <c r="J1" t="s">
        <v>24</v>
      </c>
      <c r="K1" t="s">
        <v>26</v>
      </c>
      <c r="L1" t="s">
        <v>27</v>
      </c>
      <c r="M1" t="s">
        <v>50</v>
      </c>
      <c r="N1" t="s">
        <v>51</v>
      </c>
      <c r="O1" t="s">
        <v>52</v>
      </c>
      <c r="P1" t="s">
        <v>8</v>
      </c>
      <c r="Q1" t="s">
        <v>54</v>
      </c>
    </row>
    <row r="2" spans="1:17" x14ac:dyDescent="0.3">
      <c r="A2">
        <v>1</v>
      </c>
      <c r="B2" t="s">
        <v>33</v>
      </c>
      <c r="C2">
        <v>45000</v>
      </c>
      <c r="D2">
        <v>12</v>
      </c>
      <c r="E2">
        <f>C2*D2</f>
        <v>540000</v>
      </c>
      <c r="F2" t="str">
        <f>IF(E2&gt;100000, "Топ", IF(E2&gt;50000, "Средний", "Низкий"))</f>
        <v>Топ</v>
      </c>
      <c r="G2" s="6">
        <f>E2/$H$2</f>
        <v>0.28600180075207882</v>
      </c>
      <c r="H2">
        <f>SUM(E2:E16)</f>
        <v>1888100</v>
      </c>
      <c r="I2">
        <f>AVERAGE(E2:E16)</f>
        <v>125873.33333333333</v>
      </c>
      <c r="J2">
        <f>MEDIAN(E2:E16)</f>
        <v>70000</v>
      </c>
      <c r="K2">
        <f>MIN(E2:E16)</f>
        <v>36000</v>
      </c>
      <c r="L2">
        <f>MAX(E2:E16)</f>
        <v>540000</v>
      </c>
      <c r="M2">
        <f>COUNTIF(F2:F16, "Топ")</f>
        <v>3</v>
      </c>
      <c r="N2">
        <f>SUMIF(F2:F16, "Топ", E2:E16)</f>
        <v>1102000</v>
      </c>
      <c r="O2">
        <f>AVERAGEIF(F2:F16, "Средний", E2:E16)</f>
        <v>73011.111111111109</v>
      </c>
      <c r="P2">
        <f>RANK(E2, $E$2:$E$16)</f>
        <v>1</v>
      </c>
      <c r="Q2">
        <f>CORREL(C2:C16, D2:D16)</f>
        <v>-0.39694833806521035</v>
      </c>
    </row>
    <row r="3" spans="1:17" x14ac:dyDescent="0.3">
      <c r="A3">
        <v>2</v>
      </c>
      <c r="B3" t="s">
        <v>34</v>
      </c>
      <c r="C3">
        <v>18000</v>
      </c>
      <c r="D3">
        <v>25</v>
      </c>
      <c r="E3">
        <f>C3*D3</f>
        <v>450000</v>
      </c>
      <c r="F3" t="str">
        <f>IF(E3&gt;100000, "Топ", IF(E3&gt;50000, "Средний", "Низкий"))</f>
        <v>Топ</v>
      </c>
      <c r="G3" s="6">
        <f>E3/$H$2</f>
        <v>0.23833483396006566</v>
      </c>
      <c r="P3">
        <f t="shared" ref="P3:P16" si="0">RANK(E3, $E$2:$E$16)</f>
        <v>2</v>
      </c>
      <c r="Q3">
        <f t="shared" ref="Q3:Q16" si="1">CORREL(C3:C17, D3:D17)</f>
        <v>-0.52253959948216</v>
      </c>
    </row>
    <row r="4" spans="1:17" x14ac:dyDescent="0.3">
      <c r="A4">
        <v>3</v>
      </c>
      <c r="B4" t="s">
        <v>35</v>
      </c>
      <c r="C4">
        <v>1500</v>
      </c>
      <c r="D4">
        <v>60</v>
      </c>
      <c r="E4">
        <f t="shared" ref="E4:E16" si="2">C4*D4</f>
        <v>90000</v>
      </c>
      <c r="F4" t="str">
        <f t="shared" ref="F4:F16" si="3">IF(E4&gt;100000, "Топ", IF(E4&gt;50000, "Средний", "Низкий"))</f>
        <v>Средний</v>
      </c>
      <c r="G4" s="6">
        <f t="shared" ref="G4:G16" si="4">E4/$H$2</f>
        <v>4.7666966792013134E-2</v>
      </c>
      <c r="P4">
        <f t="shared" si="0"/>
        <v>5</v>
      </c>
      <c r="Q4">
        <f t="shared" si="1"/>
        <v>-0.63218739627065768</v>
      </c>
    </row>
    <row r="5" spans="1:17" x14ac:dyDescent="0.3">
      <c r="A5">
        <v>4</v>
      </c>
      <c r="B5" t="s">
        <v>36</v>
      </c>
      <c r="C5">
        <v>800</v>
      </c>
      <c r="D5">
        <v>85</v>
      </c>
      <c r="E5">
        <f t="shared" si="2"/>
        <v>68000</v>
      </c>
      <c r="F5" t="str">
        <f t="shared" si="3"/>
        <v>Средний</v>
      </c>
      <c r="G5" s="6">
        <f t="shared" si="4"/>
        <v>3.6015041576187699E-2</v>
      </c>
      <c r="P5">
        <f t="shared" si="0"/>
        <v>9</v>
      </c>
      <c r="Q5">
        <f t="shared" si="1"/>
        <v>-0.63628324700958439</v>
      </c>
    </row>
    <row r="6" spans="1:17" x14ac:dyDescent="0.3">
      <c r="A6">
        <v>5</v>
      </c>
      <c r="B6" t="s">
        <v>37</v>
      </c>
      <c r="C6">
        <v>12000</v>
      </c>
      <c r="D6">
        <v>8</v>
      </c>
      <c r="E6">
        <f t="shared" si="2"/>
        <v>96000</v>
      </c>
      <c r="F6" t="str">
        <f t="shared" si="3"/>
        <v>Средний</v>
      </c>
      <c r="G6" s="6">
        <f t="shared" si="4"/>
        <v>5.0844764578147343E-2</v>
      </c>
      <c r="P6">
        <f t="shared" si="0"/>
        <v>4</v>
      </c>
      <c r="Q6">
        <f t="shared" si="1"/>
        <v>-0.62350438102248795</v>
      </c>
    </row>
    <row r="7" spans="1:17" x14ac:dyDescent="0.3">
      <c r="A7">
        <v>6</v>
      </c>
      <c r="B7" t="s">
        <v>38</v>
      </c>
      <c r="C7">
        <v>9000</v>
      </c>
      <c r="D7">
        <v>6</v>
      </c>
      <c r="E7">
        <f t="shared" si="2"/>
        <v>54000</v>
      </c>
      <c r="F7" t="str">
        <f t="shared" si="3"/>
        <v>Средний</v>
      </c>
      <c r="G7" s="6">
        <f t="shared" si="4"/>
        <v>2.8600180075207881E-2</v>
      </c>
      <c r="P7">
        <f t="shared" si="0"/>
        <v>12</v>
      </c>
      <c r="Q7">
        <f t="shared" si="1"/>
        <v>-0.67300937770033087</v>
      </c>
    </row>
    <row r="8" spans="1:17" x14ac:dyDescent="0.3">
      <c r="A8">
        <v>7</v>
      </c>
      <c r="B8" t="s">
        <v>39</v>
      </c>
      <c r="C8">
        <v>600</v>
      </c>
      <c r="D8">
        <v>120</v>
      </c>
      <c r="E8">
        <f t="shared" si="2"/>
        <v>72000</v>
      </c>
      <c r="F8" t="str">
        <f t="shared" si="3"/>
        <v>Средний</v>
      </c>
      <c r="G8" s="6">
        <f t="shared" si="4"/>
        <v>3.8133573433610506E-2</v>
      </c>
      <c r="P8">
        <f t="shared" si="0"/>
        <v>7</v>
      </c>
      <c r="Q8">
        <f t="shared" si="1"/>
        <v>-0.74454230577361336</v>
      </c>
    </row>
    <row r="9" spans="1:17" x14ac:dyDescent="0.3">
      <c r="A9">
        <v>8</v>
      </c>
      <c r="B9" t="s">
        <v>40</v>
      </c>
      <c r="C9">
        <v>5500</v>
      </c>
      <c r="D9">
        <v>15</v>
      </c>
      <c r="E9">
        <f t="shared" si="2"/>
        <v>82500</v>
      </c>
      <c r="F9" t="str">
        <f t="shared" si="3"/>
        <v>Средний</v>
      </c>
      <c r="G9" s="6">
        <f t="shared" si="4"/>
        <v>4.3694719559345375E-2</v>
      </c>
      <c r="P9">
        <f t="shared" si="0"/>
        <v>6</v>
      </c>
      <c r="Q9">
        <f t="shared" si="1"/>
        <v>-0.70951689226305592</v>
      </c>
    </row>
    <row r="10" spans="1:17" x14ac:dyDescent="0.3">
      <c r="A10">
        <v>9</v>
      </c>
      <c r="B10" t="s">
        <v>41</v>
      </c>
      <c r="C10">
        <v>2800</v>
      </c>
      <c r="D10">
        <v>22</v>
      </c>
      <c r="E10">
        <f t="shared" si="2"/>
        <v>61600</v>
      </c>
      <c r="F10" t="str">
        <f t="shared" si="3"/>
        <v>Средний</v>
      </c>
      <c r="G10" s="6">
        <f t="shared" si="4"/>
        <v>3.2625390604311209E-2</v>
      </c>
      <c r="P10">
        <f t="shared" si="0"/>
        <v>11</v>
      </c>
      <c r="Q10">
        <f t="shared" si="1"/>
        <v>-0.73929441679591534</v>
      </c>
    </row>
    <row r="11" spans="1:17" x14ac:dyDescent="0.3">
      <c r="A11">
        <v>10</v>
      </c>
      <c r="B11" t="s">
        <v>42</v>
      </c>
      <c r="C11">
        <v>3200</v>
      </c>
      <c r="D11">
        <v>35</v>
      </c>
      <c r="E11">
        <f t="shared" si="2"/>
        <v>112000</v>
      </c>
      <c r="F11" t="str">
        <f t="shared" si="3"/>
        <v>Топ</v>
      </c>
      <c r="G11" s="6">
        <f t="shared" si="4"/>
        <v>5.9318892007838568E-2</v>
      </c>
      <c r="P11">
        <f t="shared" si="0"/>
        <v>3</v>
      </c>
      <c r="Q11">
        <f t="shared" si="1"/>
        <v>-0.72783027592363148</v>
      </c>
    </row>
    <row r="12" spans="1:17" x14ac:dyDescent="0.3">
      <c r="A12">
        <v>11</v>
      </c>
      <c r="B12" t="s">
        <v>43</v>
      </c>
      <c r="C12">
        <v>400</v>
      </c>
      <c r="D12">
        <v>90</v>
      </c>
      <c r="E12">
        <f t="shared" si="2"/>
        <v>36000</v>
      </c>
      <c r="F12" t="str">
        <f t="shared" si="3"/>
        <v>Низкий</v>
      </c>
      <c r="G12" s="6">
        <f t="shared" si="4"/>
        <v>1.9066786716805253E-2</v>
      </c>
      <c r="P12">
        <f t="shared" si="0"/>
        <v>15</v>
      </c>
      <c r="Q12">
        <f t="shared" si="1"/>
        <v>-0.71308673693623481</v>
      </c>
    </row>
    <row r="13" spans="1:17" x14ac:dyDescent="0.3">
      <c r="A13">
        <v>12</v>
      </c>
      <c r="B13" t="s">
        <v>44</v>
      </c>
      <c r="C13">
        <v>1200</v>
      </c>
      <c r="D13">
        <v>40</v>
      </c>
      <c r="E13">
        <f t="shared" si="2"/>
        <v>48000</v>
      </c>
      <c r="F13" t="str">
        <f t="shared" si="3"/>
        <v>Низкий</v>
      </c>
      <c r="G13" s="6">
        <f t="shared" si="4"/>
        <v>2.5422382289073672E-2</v>
      </c>
      <c r="P13">
        <f t="shared" si="0"/>
        <v>13</v>
      </c>
      <c r="Q13">
        <f t="shared" si="1"/>
        <v>-0.73912635089336676</v>
      </c>
    </row>
    <row r="14" spans="1:17" x14ac:dyDescent="0.3">
      <c r="A14">
        <v>13</v>
      </c>
      <c r="B14" t="s">
        <v>45</v>
      </c>
      <c r="C14">
        <v>2500</v>
      </c>
      <c r="D14">
        <v>18</v>
      </c>
      <c r="E14">
        <f t="shared" si="2"/>
        <v>45000</v>
      </c>
      <c r="F14" t="str">
        <f t="shared" si="3"/>
        <v>Низкий</v>
      </c>
      <c r="G14" s="6">
        <f t="shared" si="4"/>
        <v>2.3833483396006567E-2</v>
      </c>
      <c r="P14">
        <f t="shared" si="0"/>
        <v>14</v>
      </c>
      <c r="Q14">
        <f t="shared" si="1"/>
        <v>-0.88518291317341924</v>
      </c>
    </row>
    <row r="15" spans="1:17" x14ac:dyDescent="0.3">
      <c r="A15">
        <v>14</v>
      </c>
      <c r="B15" t="s">
        <v>46</v>
      </c>
      <c r="C15">
        <v>350</v>
      </c>
      <c r="D15">
        <v>200</v>
      </c>
      <c r="E15">
        <f t="shared" si="2"/>
        <v>70000</v>
      </c>
      <c r="F15" t="str">
        <f t="shared" si="3"/>
        <v>Средний</v>
      </c>
      <c r="G15" s="6">
        <f t="shared" si="4"/>
        <v>3.7074307504899102E-2</v>
      </c>
      <c r="P15">
        <f t="shared" si="0"/>
        <v>8</v>
      </c>
      <c r="Q15">
        <f t="shared" si="1"/>
        <v>-1</v>
      </c>
    </row>
    <row r="16" spans="1:17" x14ac:dyDescent="0.3">
      <c r="A16">
        <v>15</v>
      </c>
      <c r="B16" t="s">
        <v>47</v>
      </c>
      <c r="C16">
        <v>4500</v>
      </c>
      <c r="D16">
        <v>14</v>
      </c>
      <c r="E16">
        <f t="shared" si="2"/>
        <v>63000</v>
      </c>
      <c r="F16" t="str">
        <f t="shared" si="3"/>
        <v>Средний</v>
      </c>
      <c r="G16" s="6">
        <f t="shared" si="4"/>
        <v>3.3366876754409192E-2</v>
      </c>
      <c r="P16">
        <f t="shared" si="0"/>
        <v>10</v>
      </c>
      <c r="Q16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2026-10-13T10:18:54Z</dcterms:created>
  <dcterms:modified xsi:type="dcterms:W3CDTF">2026-10-13T11:54:18Z</dcterms:modified>
</cp:coreProperties>
</file>